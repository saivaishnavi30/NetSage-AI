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Responsible AI" sheetId="2" state="visible" r:id="rId2"/>
    <sheet name="Issue Summary" sheetId="3" state="visible" r:id="rId3"/>
    <sheet name="Severity Summary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Cases by Issue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'Issue Summary'!B1</f>
            </strRef>
          </tx>
          <spPr>
            <a:ln>
              <a:prstDash val="solid"/>
            </a:ln>
          </spPr>
          <cat>
            <numRef>
              <f>'Issue Summary'!$A$2:$A$9</f>
            </numRef>
          </cat>
          <val>
            <numRef>
              <f>'Issue 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Issue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Cases by Severity</a:t>
            </a:r>
          </a:p>
        </rich>
      </tx>
    </title>
    <plotArea>
      <pieChart>
        <varyColors val="1"/>
        <ser>
          <idx val="0"/>
          <order val="0"/>
          <tx>
            <strRef>
              <f>'Severity Summary'!B1</f>
            </strRef>
          </tx>
          <spPr>
            <a:ln>
              <a:prstDash val="solid"/>
            </a:ln>
          </spPr>
          <cat>
            <numRef>
              <f>'Severity Summary'!$A$2:$A$4</f>
            </numRef>
          </cat>
          <val>
            <numRef>
              <f>'Severity Summary'!$B$2:$B$4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45" customWidth="1" min="3" max="3"/>
    <col width="45" customWidth="1" min="4" max="4"/>
    <col width="45" customWidth="1" min="5" max="5"/>
    <col width="45" customWidth="1" min="6" max="6"/>
    <col width="11" customWidth="1" min="7" max="7"/>
    <col width="25" customWidth="1" min="8" max="8"/>
    <col width="10" customWidth="1" min="9" max="9"/>
  </cols>
  <sheetData>
    <row r="1">
      <c r="A1" s="1" t="inlineStr">
        <is>
          <t>case_id</t>
        </is>
      </c>
      <c r="B1" s="1" t="inlineStr">
        <is>
          <t>issue_type</t>
        </is>
      </c>
      <c r="C1" s="1" t="inlineStr">
        <is>
          <t>symptom</t>
        </is>
      </c>
      <c r="D1" s="1" t="inlineStr">
        <is>
          <t>topology_note</t>
        </is>
      </c>
      <c r="E1" s="1" t="inlineStr">
        <is>
          <t>show_outputs</t>
        </is>
      </c>
      <c r="F1" s="1" t="inlineStr">
        <is>
          <t>expected_fault</t>
        </is>
      </c>
      <c r="G1" s="1" t="inlineStr">
        <is>
          <t>osi_layer</t>
        </is>
      </c>
      <c r="H1" s="1" t="inlineStr">
        <is>
          <t>concept</t>
        </is>
      </c>
      <c r="I1" s="1" t="inlineStr">
        <is>
          <t>severity</t>
        </is>
      </c>
    </row>
    <row r="2">
      <c r="A2" s="1" t="inlineStr">
        <is>
          <t>CASE001</t>
        </is>
      </c>
      <c r="B2" s="1" t="inlineStr">
        <is>
          <t>VLAN</t>
        </is>
      </c>
      <c r="C2" s="1" t="inlineStr">
        <is>
          <t>PC in VLAN 10 cannot communicate with another PC in VLAN 10</t>
        </is>
      </c>
      <c r="D2" s="1" t="inlineStr">
        <is>
          <t>Two PCs connected to SW1 access ports Fa0/1 and Fa0/2; both should belong to VLAN 10</t>
        </is>
      </c>
      <c r="E2" s="1" t="inlineStr">
        <is>
          <t>show vlan brief: VLAN 10 missing</t>
        </is>
      </c>
      <c r="F2" s="1" t="inlineStr">
        <is>
          <t>VLAN 10 is not created on the switch</t>
        </is>
      </c>
      <c r="G2" s="1" t="inlineStr">
        <is>
          <t>Layer 2</t>
        </is>
      </c>
      <c r="H2" s="1" t="inlineStr">
        <is>
          <t>VLAN configuration</t>
        </is>
      </c>
      <c r="I2" s="1" t="inlineStr">
        <is>
          <t>High</t>
        </is>
      </c>
    </row>
    <row r="3">
      <c r="A3" s="1" t="inlineStr">
        <is>
          <t>CASE002</t>
        </is>
      </c>
      <c r="B3" s="1" t="inlineStr">
        <is>
          <t>VLAN</t>
        </is>
      </c>
      <c r="C3" s="1" t="inlineStr">
        <is>
          <t>PC receives an IP but cannot reach devices in its VLAN</t>
        </is>
      </c>
      <c r="D3" s="1" t="inlineStr">
        <is>
          <t>PC connected to SW1 Fa0/5; port should be assigned to VLAN 20</t>
        </is>
      </c>
      <c r="E3" s="1" t="inlineStr">
        <is>
          <t>show vlan brief: Fa0/5 appears in VLAN 1</t>
        </is>
      </c>
      <c r="F3" s="1" t="inlineStr">
        <is>
          <t>Access port is assigned to the wrong VLAN</t>
        </is>
      </c>
      <c r="G3" s="1" t="inlineStr">
        <is>
          <t>Layer 2</t>
        </is>
      </c>
      <c r="H3" s="1" t="inlineStr">
        <is>
          <t>Access VLAN assignment</t>
        </is>
      </c>
      <c r="I3" s="1" t="inlineStr">
        <is>
          <t>High</t>
        </is>
      </c>
    </row>
    <row r="4">
      <c r="A4" s="1" t="inlineStr">
        <is>
          <t>CASE003</t>
        </is>
      </c>
      <c r="B4" s="1" t="inlineStr">
        <is>
          <t>VLAN</t>
        </is>
      </c>
      <c r="C4" s="1" t="inlineStr">
        <is>
          <t>Users on one switch cannot reach users on another switch in the same VLAN</t>
        </is>
      </c>
      <c r="D4" s="1" t="inlineStr">
        <is>
          <t>SW1 and SW2 connected using Gi0/1 trunk link; VLAN 30 required across both switches</t>
        </is>
      </c>
      <c r="E4" s="1" t="inlineStr">
        <is>
          <t>show interfaces trunk: VLAN 30 not allowed</t>
        </is>
      </c>
      <c r="F4" s="1" t="inlineStr">
        <is>
          <t>VLAN 30 is missing from the trunk allowed list</t>
        </is>
      </c>
      <c r="G4" s="1" t="inlineStr">
        <is>
          <t>Layer 2</t>
        </is>
      </c>
      <c r="H4" s="1" t="inlineStr">
        <is>
          <t>802.1Q trunking</t>
        </is>
      </c>
      <c r="I4" s="1" t="inlineStr">
        <is>
          <t>High</t>
        </is>
      </c>
    </row>
    <row r="5">
      <c r="A5" s="1" t="inlineStr">
        <is>
          <t>CASE004</t>
        </is>
      </c>
      <c r="B5" s="1" t="inlineStr">
        <is>
          <t>VLAN</t>
        </is>
      </c>
      <c r="C5" s="1" t="inlineStr">
        <is>
          <t>Inter-VLAN communication fails for VLAN 40 users</t>
        </is>
      </c>
      <c r="D5" s="1" t="inlineStr">
        <is>
          <t>Router-on-a-stick connects R1 to SW1</t>
        </is>
      </c>
      <c r="E5" s="1" t="inlineStr">
        <is>
          <t>show interfaces trunk: switch uplink operating as access port</t>
        </is>
      </c>
      <c r="F5" s="1" t="inlineStr">
        <is>
          <t>Switch-router link is not configured as a trunk</t>
        </is>
      </c>
      <c r="G5" s="1" t="inlineStr">
        <is>
          <t>Layer 2</t>
        </is>
      </c>
      <c r="H5" s="1" t="inlineStr">
        <is>
          <t>Inter-VLAN trunking</t>
        </is>
      </c>
      <c r="I5" s="1" t="inlineStr">
        <is>
          <t>High</t>
        </is>
      </c>
    </row>
    <row r="6">
      <c r="A6" s="1" t="inlineStr">
        <is>
          <t>CASE005</t>
        </is>
      </c>
      <c r="B6" s="1" t="inlineStr">
        <is>
          <t>Gateway</t>
        </is>
      </c>
      <c r="C6" s="1" t="inlineStr">
        <is>
          <t>PC can communicate locally but cannot reach remote networks</t>
        </is>
      </c>
      <c r="D6" s="1" t="inlineStr">
        <is>
          <t>PC in VLAN 10 uses R1 as default gateway</t>
        </is>
      </c>
      <c r="E6" s="1" t="inlineStr">
        <is>
          <t>ipconfig: default gateway 192.168.20.1; VLAN 10 gateway is 192.168.10.1</t>
        </is>
      </c>
      <c r="F6" s="1" t="inlineStr">
        <is>
          <t>PC has an incorrect default gateway</t>
        </is>
      </c>
      <c r="G6" s="1" t="inlineStr">
        <is>
          <t>Layer 3</t>
        </is>
      </c>
      <c r="H6" s="1" t="inlineStr">
        <is>
          <t>Default gateway</t>
        </is>
      </c>
      <c r="I6" s="1" t="inlineStr">
        <is>
          <t>High</t>
        </is>
      </c>
    </row>
    <row r="7">
      <c r="A7" s="1" t="inlineStr">
        <is>
          <t>CASE006</t>
        </is>
      </c>
      <c r="B7" s="1" t="inlineStr">
        <is>
          <t>Gateway</t>
        </is>
      </c>
      <c r="C7" s="1" t="inlineStr">
        <is>
          <t>PC has valid IP but cannot ping its router gateway</t>
        </is>
      </c>
      <c r="D7" s="1" t="inlineStr">
        <is>
          <t>PC connected to SW1 access port in VLAN 20</t>
        </is>
      </c>
      <c r="E7" s="1" t="inlineStr">
        <is>
          <t>ipconfig: 192.168.20.25/24; gateway 192.168.20.1; show ip interface brief: G0/0 192.168.30.1</t>
        </is>
      </c>
      <c r="F7" s="1" t="inlineStr">
        <is>
          <t>Gateway address does not match the local subnet</t>
        </is>
      </c>
      <c r="G7" s="1" t="inlineStr">
        <is>
          <t>Layer 3</t>
        </is>
      </c>
      <c r="H7" s="1" t="inlineStr">
        <is>
          <t>Gateway addressing</t>
        </is>
      </c>
      <c r="I7" s="1" t="inlineStr">
        <is>
          <t>High</t>
        </is>
      </c>
    </row>
    <row r="8">
      <c r="A8" s="1" t="inlineStr">
        <is>
          <t>CASE007</t>
        </is>
      </c>
      <c r="B8" s="1" t="inlineStr">
        <is>
          <t>Gateway</t>
        </is>
      </c>
      <c r="C8" s="1" t="inlineStr">
        <is>
          <t>Multiple PCs in the same subnet cannot reach the gateway</t>
        </is>
      </c>
      <c r="D8" s="1" t="inlineStr">
        <is>
          <t>PCs use 192.168.30.0/24</t>
        </is>
      </c>
      <c r="E8" s="1" t="inlineStr">
        <is>
          <t>show ip interface brief: router interface G0/0 is administratively down</t>
        </is>
      </c>
      <c r="F8" s="1" t="inlineStr">
        <is>
          <t>Router gateway interface is shut down</t>
        </is>
      </c>
      <c r="G8" s="1" t="inlineStr">
        <is>
          <t>Layer 3</t>
        </is>
      </c>
      <c r="H8" s="1" t="inlineStr">
        <is>
          <t>Router interface state</t>
        </is>
      </c>
      <c r="I8" s="1" t="inlineStr">
        <is>
          <t>Critical</t>
        </is>
      </c>
    </row>
    <row r="9">
      <c r="A9" s="1" t="inlineStr">
        <is>
          <t>CASE008</t>
        </is>
      </c>
      <c r="B9" s="1" t="inlineStr">
        <is>
          <t>DHCP</t>
        </is>
      </c>
      <c r="C9" s="1" t="inlineStr">
        <is>
          <t>PC automatically receives an APIPA address</t>
        </is>
      </c>
      <c r="D9" s="1" t="inlineStr">
        <is>
          <t>DHCP server is located on another subnet behind R1</t>
        </is>
      </c>
      <c r="E9" s="1" t="inlineStr">
        <is>
          <t>ipconfig: 169.254.10.22; show ip dhcp pool: available addresses remain</t>
        </is>
      </c>
      <c r="F9" s="1" t="inlineStr">
        <is>
          <t>DHCP requests are not reaching the remote DHCP server</t>
        </is>
      </c>
      <c r="G9" s="1" t="inlineStr">
        <is>
          <t>Layer 3</t>
        </is>
      </c>
      <c r="H9" s="1" t="inlineStr">
        <is>
          <t>DHCP relay</t>
        </is>
      </c>
      <c r="I9" s="1" t="inlineStr">
        <is>
          <t>High</t>
        </is>
      </c>
    </row>
    <row r="10">
      <c r="A10" s="1" t="inlineStr">
        <is>
          <t>CASE009</t>
        </is>
      </c>
      <c r="B10" s="1" t="inlineStr">
        <is>
          <t>DHCP</t>
        </is>
      </c>
      <c r="C10" s="1" t="inlineStr">
        <is>
          <t>PC receives an address from the wrong subnet</t>
        </is>
      </c>
      <c r="D10" s="1" t="inlineStr">
        <is>
          <t>DHCP server has pools for VLAN 10 and VLAN 20</t>
        </is>
      </c>
      <c r="E10" s="1" t="inlineStr">
        <is>
          <t>show ip dhcp binding: client receives 192.168.10.x while connected to VLAN 20</t>
        </is>
      </c>
      <c r="F10" s="1" t="inlineStr">
        <is>
          <t>DHCP pool/network configuration is incorrect</t>
        </is>
      </c>
      <c r="G10" s="1" t="inlineStr">
        <is>
          <t>Layer 3</t>
        </is>
      </c>
      <c r="H10" s="1" t="inlineStr">
        <is>
          <t>DHCP scope</t>
        </is>
      </c>
      <c r="I10" s="1" t="inlineStr">
        <is>
          <t>High</t>
        </is>
      </c>
    </row>
    <row r="11">
      <c r="A11" s="1" t="inlineStr">
        <is>
          <t>CASE010</t>
        </is>
      </c>
      <c r="B11" s="1" t="inlineStr">
        <is>
          <t>DHCP</t>
        </is>
      </c>
      <c r="C11" s="1" t="inlineStr">
        <is>
          <t>Some clients receive addresses while others fail</t>
        </is>
      </c>
      <c r="D11" s="1" t="inlineStr">
        <is>
          <t>Large number of PCs share the same DHCP pool</t>
        </is>
      </c>
      <c r="E11" s="1" t="inlineStr">
        <is>
          <t>show ip dhcp pool: maximum addresses exhausted</t>
        </is>
      </c>
      <c r="F11" s="1" t="inlineStr">
        <is>
          <t>DHCP address pool has no available leases</t>
        </is>
      </c>
      <c r="G11" s="1" t="inlineStr">
        <is>
          <t>Layer 3</t>
        </is>
      </c>
      <c r="H11" s="1" t="inlineStr">
        <is>
          <t>DHCP address allocation</t>
        </is>
      </c>
      <c r="I11" s="1" t="inlineStr">
        <is>
          <t>Medium</t>
        </is>
      </c>
    </row>
    <row r="12">
      <c r="A12" s="1" t="inlineStr">
        <is>
          <t>CASE011</t>
        </is>
      </c>
      <c r="B12" s="1" t="inlineStr">
        <is>
          <t>DHCP</t>
        </is>
      </c>
      <c r="C12" s="1" t="inlineStr">
        <is>
          <t>PC has IP address but DNS server information is missing</t>
        </is>
      </c>
      <c r="D12" s="1" t="inlineStr">
        <is>
          <t>Clients obtain addresses from router DHCP</t>
        </is>
      </c>
      <c r="E12" s="1" t="inlineStr">
        <is>
          <t>ipconfig /all: DNS Servers field is empty</t>
        </is>
      </c>
      <c r="F12" s="1" t="inlineStr">
        <is>
          <t>DHCP pool does not provide a DNS server option</t>
        </is>
      </c>
      <c r="G12" s="1" t="inlineStr">
        <is>
          <t>Layer 7</t>
        </is>
      </c>
      <c r="H12" s="1" t="inlineStr">
        <is>
          <t>DHCP options</t>
        </is>
      </c>
      <c r="I12" s="1" t="inlineStr">
        <is>
          <t>Medium</t>
        </is>
      </c>
    </row>
    <row r="13">
      <c r="A13" s="1" t="inlineStr">
        <is>
          <t>CASE012</t>
        </is>
      </c>
      <c r="B13" s="1" t="inlineStr">
        <is>
          <t>DNS</t>
        </is>
      </c>
      <c r="C13" s="1" t="inlineStr">
        <is>
          <t>PC can ping a web server by IP but not by hostname</t>
        </is>
      </c>
      <c r="D13" s="1" t="inlineStr">
        <is>
          <t>DNS server is located at 192.168.50.10</t>
        </is>
      </c>
      <c r="E13" s="1" t="inlineStr">
        <is>
          <t>nslookup: DNS request timed out</t>
        </is>
      </c>
      <c r="F13" s="1" t="inlineStr">
        <is>
          <t>DNS server is unreachable or unavailable</t>
        </is>
      </c>
      <c r="G13" s="1" t="inlineStr">
        <is>
          <t>Layer 7</t>
        </is>
      </c>
      <c r="H13" s="1" t="inlineStr">
        <is>
          <t>DNS resolution</t>
        </is>
      </c>
      <c r="I13" s="1" t="inlineStr">
        <is>
          <t>High</t>
        </is>
      </c>
    </row>
    <row r="14">
      <c r="A14" s="1" t="inlineStr">
        <is>
          <t>CASE013</t>
        </is>
      </c>
      <c r="B14" s="1" t="inlineStr">
        <is>
          <t>DNS</t>
        </is>
      </c>
      <c r="C14" s="1" t="inlineStr">
        <is>
          <t>Only one hostname fails while other domains resolve</t>
        </is>
      </c>
      <c r="D14" s="1" t="inlineStr">
        <is>
          <t>Client uses DNS server 192.168.50.10</t>
        </is>
      </c>
      <c r="E14" s="1" t="inlineStr">
        <is>
          <t>nslookup internal.example.com: NXDOMAIN</t>
        </is>
      </c>
      <c r="F14" s="1" t="inlineStr">
        <is>
          <t>DNS record for the requested hostname is missing</t>
        </is>
      </c>
      <c r="G14" s="1" t="inlineStr">
        <is>
          <t>Layer 7</t>
        </is>
      </c>
      <c r="H14" s="1" t="inlineStr">
        <is>
          <t>DNS records</t>
        </is>
      </c>
      <c r="I14" s="1" t="inlineStr">
        <is>
          <t>Medium</t>
        </is>
      </c>
    </row>
    <row r="15">
      <c r="A15" s="1" t="inlineStr">
        <is>
          <t>CASE014</t>
        </is>
      </c>
      <c r="B15" s="1" t="inlineStr">
        <is>
          <t>DNS</t>
        </is>
      </c>
      <c r="C15" s="1" t="inlineStr">
        <is>
          <t>Clients cannot resolve any hostnames after DNS server change</t>
        </is>
      </c>
      <c r="D15" s="1" t="inlineStr">
        <is>
          <t>Network recently migrated to a new DNS server</t>
        </is>
      </c>
      <c r="E15" s="1" t="inlineStr">
        <is>
          <t>ipconfig /all: DNS Server 192.168.60.10; ping 192.168.60.10 fails</t>
        </is>
      </c>
      <c r="F15" s="1" t="inlineStr">
        <is>
          <t>Client cannot reach the configured DNS server</t>
        </is>
      </c>
      <c r="G15" s="1" t="inlineStr">
        <is>
          <t>Layer 7</t>
        </is>
      </c>
      <c r="H15" s="1" t="inlineStr">
        <is>
          <t>DNS connectivity</t>
        </is>
      </c>
      <c r="I15" s="1" t="inlineStr">
        <is>
          <t>High</t>
        </is>
      </c>
    </row>
    <row r="16">
      <c r="A16" s="1" t="inlineStr">
        <is>
          <t>CASE015</t>
        </is>
      </c>
      <c r="B16" s="1" t="inlineStr">
        <is>
          <t>Routing</t>
        </is>
      </c>
      <c r="C16" s="1" t="inlineStr">
        <is>
          <t>PC can reach its gateway but not a remote LAN</t>
        </is>
      </c>
      <c r="D16" s="1" t="inlineStr">
        <is>
          <t>R1 connects 192.168.10.0/24 to R2 192.168.20.0/24</t>
        </is>
      </c>
      <c r="E16" s="1" t="inlineStr">
        <is>
          <t>show ip route: no route to 192.168.20.0/24</t>
        </is>
      </c>
      <c r="F16" s="1" t="inlineStr">
        <is>
          <t>R1 is missing a route to the remote network</t>
        </is>
      </c>
      <c r="G16" s="1" t="inlineStr">
        <is>
          <t>Layer 3</t>
        </is>
      </c>
      <c r="H16" s="1" t="inlineStr">
        <is>
          <t>Static routing</t>
        </is>
      </c>
      <c r="I16" s="1" t="inlineStr">
        <is>
          <t>High</t>
        </is>
      </c>
    </row>
    <row r="17">
      <c r="A17" s="1" t="inlineStr">
        <is>
          <t>CASE016</t>
        </is>
      </c>
      <c r="B17" s="1" t="inlineStr">
        <is>
          <t>Routing</t>
        </is>
      </c>
      <c r="C17" s="1" t="inlineStr">
        <is>
          <t>Remote network is reachable from one router but not from another</t>
        </is>
      </c>
      <c r="D17" s="1" t="inlineStr">
        <is>
          <t>R1 and R2 connected through serial link</t>
        </is>
      </c>
      <c r="E17" s="1" t="inlineStr">
        <is>
          <t>show ip route: route exists on R1 but missing on R2</t>
        </is>
      </c>
      <c r="F17" s="1" t="inlineStr">
        <is>
          <t>Return route is missing on R2</t>
        </is>
      </c>
      <c r="G17" s="1" t="inlineStr">
        <is>
          <t>Layer 3</t>
        </is>
      </c>
      <c r="H17" s="1" t="inlineStr">
        <is>
          <t>Routing table</t>
        </is>
      </c>
      <c r="I17" s="1" t="inlineStr">
        <is>
          <t>High</t>
        </is>
      </c>
    </row>
    <row r="18">
      <c r="A18" s="1" t="inlineStr">
        <is>
          <t>CASE017</t>
        </is>
      </c>
      <c r="B18" s="1" t="inlineStr">
        <is>
          <t>Routing</t>
        </is>
      </c>
      <c r="C18" s="1" t="inlineStr">
        <is>
          <t>OSPF neighbors are not forming</t>
        </is>
      </c>
      <c r="D18" s="1" t="inlineStr">
        <is>
          <t>R1 and R2 share network 10.0.0.0/30</t>
        </is>
      </c>
      <c r="E18" s="1" t="inlineStr">
        <is>
          <t>show ip ospf neighbor: no neighbors</t>
        </is>
      </c>
      <c r="F18" s="1" t="inlineStr">
        <is>
          <t>OSPF configuration does not include the connecting network</t>
        </is>
      </c>
      <c r="G18" s="1" t="inlineStr">
        <is>
          <t>Layer 3</t>
        </is>
      </c>
      <c r="H18" s="1" t="inlineStr">
        <is>
          <t>OSPF</t>
        </is>
      </c>
      <c r="I18" s="1" t="inlineStr">
        <is>
          <t>High</t>
        </is>
      </c>
    </row>
    <row r="19">
      <c r="A19" s="1" t="inlineStr">
        <is>
          <t>CASE018</t>
        </is>
      </c>
      <c r="B19" s="1" t="inlineStr">
        <is>
          <t>Routing</t>
        </is>
      </c>
      <c r="C19" s="1" t="inlineStr">
        <is>
          <t>Traffic follows an unexpected path</t>
        </is>
      </c>
      <c r="D19" s="1" t="inlineStr">
        <is>
          <t>Three routers use OSPF</t>
        </is>
      </c>
      <c r="E19" s="1" t="inlineStr">
        <is>
          <t>show ip route: unexpected next hop selected</t>
        </is>
      </c>
      <c r="F19" s="1" t="inlineStr">
        <is>
          <t>Routing metric or route preference causes a different path</t>
        </is>
      </c>
      <c r="G19" s="1" t="inlineStr">
        <is>
          <t>Layer 3</t>
        </is>
      </c>
      <c r="H19" s="1" t="inlineStr">
        <is>
          <t>Dynamic routing</t>
        </is>
      </c>
      <c r="I19" s="1" t="inlineStr">
        <is>
          <t>Medium</t>
        </is>
      </c>
    </row>
    <row r="20">
      <c r="A20" s="1" t="inlineStr">
        <is>
          <t>CASE019</t>
        </is>
      </c>
      <c r="B20" s="1" t="inlineStr">
        <is>
          <t>Routing</t>
        </is>
      </c>
      <c r="C20" s="1" t="inlineStr">
        <is>
          <t>Default route is configured but internet network remains unreachable</t>
        </is>
      </c>
      <c r="D20" s="1" t="inlineStr">
        <is>
          <t>R1 connects internal LAN to ISP router</t>
        </is>
      </c>
      <c r="E20" s="1" t="inlineStr">
        <is>
          <t>show ip route: no 0.0.0.0/0 entry</t>
        </is>
      </c>
      <c r="F20" s="1" t="inlineStr">
        <is>
          <t>Default route is missing</t>
        </is>
      </c>
      <c r="G20" s="1" t="inlineStr">
        <is>
          <t>Layer 3</t>
        </is>
      </c>
      <c r="H20" s="1" t="inlineStr">
        <is>
          <t>Default routing</t>
        </is>
      </c>
      <c r="I20" s="1" t="inlineStr">
        <is>
          <t>High</t>
        </is>
      </c>
    </row>
    <row r="21">
      <c r="A21" s="1" t="inlineStr">
        <is>
          <t>CASE020</t>
        </is>
      </c>
      <c r="B21" s="1" t="inlineStr">
        <is>
          <t>ACL</t>
        </is>
      </c>
      <c r="C21" s="1" t="inlineStr">
        <is>
          <t>PC can ping gateway but cannot access application server</t>
        </is>
      </c>
      <c r="D21" s="1" t="inlineStr">
        <is>
          <t>ACL applied inbound on router interface</t>
        </is>
      </c>
      <c r="E21" s="1" t="inlineStr">
        <is>
          <t>show access-lists: deny tcp any host 192.168.40.10 eq 443</t>
        </is>
      </c>
      <c r="F21" s="1" t="inlineStr">
        <is>
          <t>ACL explicitly blocks HTTPS traffic</t>
        </is>
      </c>
      <c r="G21" s="1" t="inlineStr">
        <is>
          <t>Layer 4</t>
        </is>
      </c>
      <c r="H21" s="1" t="inlineStr">
        <is>
          <t>Access Control List</t>
        </is>
      </c>
      <c r="I21" s="1" t="inlineStr">
        <is>
          <t>High</t>
        </is>
      </c>
    </row>
    <row r="22">
      <c r="A22" s="1" t="inlineStr">
        <is>
          <t>CASE021</t>
        </is>
      </c>
      <c r="B22" s="1" t="inlineStr">
        <is>
          <t>ACL</t>
        </is>
      </c>
      <c r="C22" s="1" t="inlineStr">
        <is>
          <t>Guest users can access internal server</t>
        </is>
      </c>
      <c r="D22" s="1" t="inlineStr">
        <is>
          <t>Guest VLAN should only access the internet</t>
        </is>
      </c>
      <c r="E22" s="1" t="inlineStr">
        <is>
          <t>show access-lists: no deny statement for internal subnet</t>
        </is>
      </c>
      <c r="F22" s="1" t="inlineStr">
        <is>
          <t>Guest isolation ACL rule is missing</t>
        </is>
      </c>
      <c r="G22" s="1" t="inlineStr">
        <is>
          <t>Layer 3/4</t>
        </is>
      </c>
      <c r="H22" s="1" t="inlineStr">
        <is>
          <t>Network segmentation</t>
        </is>
      </c>
      <c r="I22" s="1" t="inlineStr">
        <is>
          <t>Critical</t>
        </is>
      </c>
    </row>
    <row r="23">
      <c r="A23" s="1" t="inlineStr">
        <is>
          <t>CASE022</t>
        </is>
      </c>
      <c r="B23" s="1" t="inlineStr">
        <is>
          <t>ACL</t>
        </is>
      </c>
      <c r="C23" s="1" t="inlineStr">
        <is>
          <t>SSH access to router is blocked for administrators</t>
        </is>
      </c>
      <c r="D23" s="1" t="inlineStr">
        <is>
          <t>Management subnet is 192.168.99.0/24</t>
        </is>
      </c>
      <c r="E23" s="1" t="inlineStr">
        <is>
          <t>show access-lists: deny ip 192.168.99.0 0.0.0.255 any</t>
        </is>
      </c>
      <c r="F23" s="1" t="inlineStr">
        <is>
          <t>ACL blocks the management subnet</t>
        </is>
      </c>
      <c r="G23" s="1" t="inlineStr">
        <is>
          <t>Layer 4</t>
        </is>
      </c>
      <c r="H23" s="1" t="inlineStr">
        <is>
          <t>Management ACL</t>
        </is>
      </c>
      <c r="I23" s="1" t="inlineStr">
        <is>
          <t>High</t>
        </is>
      </c>
    </row>
    <row r="24">
      <c r="A24" s="1" t="inlineStr">
        <is>
          <t>CASE023</t>
        </is>
      </c>
      <c r="B24" s="1" t="inlineStr">
        <is>
          <t>ACL</t>
        </is>
      </c>
      <c r="C24" s="1" t="inlineStr">
        <is>
          <t>Web application works but ping fails</t>
        </is>
      </c>
      <c r="D24" s="1" t="inlineStr">
        <is>
          <t>ACL is applied between client and server</t>
        </is>
      </c>
      <c r="E24" s="1" t="inlineStr">
        <is>
          <t>show access-lists: deny icmp any any</t>
        </is>
      </c>
      <c r="F24" s="1" t="inlineStr">
        <is>
          <t>ICMP is blocked by ACL while TCP traffic remains allowed</t>
        </is>
      </c>
      <c r="G24" s="1" t="inlineStr">
        <is>
          <t>Layer 3</t>
        </is>
      </c>
      <c r="H24" s="1" t="inlineStr">
        <is>
          <t>ICMP filtering</t>
        </is>
      </c>
      <c r="I24" s="1" t="inlineStr">
        <is>
          <t>Medium</t>
        </is>
      </c>
    </row>
    <row r="25">
      <c r="A25" s="1" t="inlineStr">
        <is>
          <t>CASE024</t>
        </is>
      </c>
      <c r="B25" s="1" t="inlineStr">
        <is>
          <t>NAT</t>
        </is>
      </c>
      <c r="C25" s="1" t="inlineStr">
        <is>
          <t>Internal PC can reach gateway but cannot reach internet</t>
        </is>
      </c>
      <c r="D25" s="1" t="inlineStr">
        <is>
          <t>Inside LAN uses private 192.168.10.0/24 addresses</t>
        </is>
      </c>
      <c r="E25" s="1" t="inlineStr">
        <is>
          <t>show ip nat translations: empty; show ip nat statistics: inside local translations 0</t>
        </is>
      </c>
      <c r="F25" s="1" t="inlineStr">
        <is>
          <t>NAT configuration is missing or not applied</t>
        </is>
      </c>
      <c r="G25" s="1" t="inlineStr">
        <is>
          <t>Layer 3</t>
        </is>
      </c>
      <c r="H25" s="1" t="inlineStr">
        <is>
          <t>NAT/PAT</t>
        </is>
      </c>
      <c r="I25" s="1" t="inlineStr">
        <is>
          <t>Critical</t>
        </is>
      </c>
    </row>
    <row r="26">
      <c r="A26" s="1" t="inlineStr">
        <is>
          <t>CASE025</t>
        </is>
      </c>
      <c r="B26" s="1" t="inlineStr">
        <is>
          <t>NAT</t>
        </is>
      </c>
      <c r="C26" s="1" t="inlineStr">
        <is>
          <t>Only one internal host can access the internet</t>
        </is>
      </c>
      <c r="D26" s="1" t="inlineStr">
        <is>
          <t>Multiple PCs share one public IP</t>
        </is>
      </c>
      <c r="E26" s="1" t="inlineStr">
        <is>
          <t>show ip nat translations: only one inside local address translated</t>
        </is>
      </c>
      <c r="F26" s="1" t="inlineStr">
        <is>
          <t>PAT overload is not configured correctly</t>
        </is>
      </c>
      <c r="G26" s="1" t="inlineStr">
        <is>
          <t>Layer 3</t>
        </is>
      </c>
      <c r="H26" s="1" t="inlineStr">
        <is>
          <t>PAT overload</t>
        </is>
      </c>
      <c r="I26" s="1" t="inlineStr">
        <is>
          <t>High</t>
        </is>
      </c>
    </row>
    <row r="27">
      <c r="A27" s="1" t="inlineStr">
        <is>
          <t>CASE026</t>
        </is>
      </c>
      <c r="B27" s="1" t="inlineStr">
        <is>
          <t>NAT</t>
        </is>
      </c>
      <c r="C27" s="1" t="inlineStr">
        <is>
          <t>NAT translations exist but internet replies never return</t>
        </is>
      </c>
      <c r="D27" s="1" t="inlineStr">
        <is>
          <t>R1 performs NAT toward ISP</t>
        </is>
      </c>
      <c r="E27" s="1" t="inlineStr">
        <is>
          <t>show ip nat translations: translations present; show ip route: missing default route</t>
        </is>
      </c>
      <c r="F27" s="1" t="inlineStr">
        <is>
          <t>Router lacks a route toward the ISP</t>
        </is>
      </c>
      <c r="G27" s="1" t="inlineStr">
        <is>
          <t>Layer 3</t>
        </is>
      </c>
      <c r="H27" s="1" t="inlineStr">
        <is>
          <t>NAT with routing</t>
        </is>
      </c>
      <c r="I27" s="1" t="inlineStr">
        <is>
          <t>High</t>
        </is>
      </c>
    </row>
    <row r="28">
      <c r="A28" s="1" t="inlineStr">
        <is>
          <t>CASE027</t>
        </is>
      </c>
      <c r="B28" s="1" t="inlineStr">
        <is>
          <t>Wireless</t>
        </is>
      </c>
      <c r="C28" s="1" t="inlineStr">
        <is>
          <t>Wireless clients connect to Wi-Fi but receive no IP address</t>
        </is>
      </c>
      <c r="D28" s="1" t="inlineStr">
        <is>
          <t>Access point connects to switch VLAN 50</t>
        </is>
      </c>
      <c r="E28" s="1" t="inlineStr">
        <is>
          <t>show vlan brief: VLAN 50 missing on switch</t>
        </is>
      </c>
      <c r="F28" s="1" t="inlineStr">
        <is>
          <t>Wireless client VLAN is not configured on the switch</t>
        </is>
      </c>
      <c r="G28" s="1" t="inlineStr">
        <is>
          <t>Layer 2</t>
        </is>
      </c>
      <c r="H28" s="1" t="inlineStr">
        <is>
          <t>Wireless VLAN</t>
        </is>
      </c>
      <c r="I28" s="1" t="inlineStr">
        <is>
          <t>High</t>
        </is>
      </c>
    </row>
    <row r="29">
      <c r="A29" s="1" t="inlineStr">
        <is>
          <t>CASE028</t>
        </is>
      </c>
      <c r="B29" s="1" t="inlineStr">
        <is>
          <t>Wireless</t>
        </is>
      </c>
      <c r="C29" s="1" t="inlineStr">
        <is>
          <t>Guest Wi-Fi connects but cannot reach the internet</t>
        </is>
      </c>
      <c r="D29" s="1" t="inlineStr">
        <is>
          <t>Guest SSID mapped to VLAN 60</t>
        </is>
      </c>
      <c r="E29" s="1" t="inlineStr">
        <is>
          <t>show interfaces trunk: VLAN 60 not allowed</t>
        </is>
      </c>
      <c r="F29" s="1" t="inlineStr">
        <is>
          <t>Guest VLAN is not carried across the trunk</t>
        </is>
      </c>
      <c r="G29" s="1" t="inlineStr">
        <is>
          <t>Layer 2</t>
        </is>
      </c>
      <c r="H29" s="1" t="inlineStr">
        <is>
          <t>SSID/VLAN mapping</t>
        </is>
      </c>
      <c r="I29" s="1" t="inlineStr">
        <is>
          <t>High</t>
        </is>
      </c>
    </row>
    <row r="30">
      <c r="A30" s="1" t="inlineStr">
        <is>
          <t>CASE029</t>
        </is>
      </c>
      <c r="B30" s="1" t="inlineStr">
        <is>
          <t>Wireless</t>
        </is>
      </c>
      <c r="C30" s="1" t="inlineStr">
        <is>
          <t>Wireless client repeatedly disconnects</t>
        </is>
      </c>
      <c r="D30" s="1" t="inlineStr">
        <is>
          <t>Access point serves several clients on same channel</t>
        </is>
      </c>
      <c r="E30" s="1" t="inlineStr">
        <is>
          <t>show controller/AP status: channel overlap detected</t>
        </is>
      </c>
      <c r="F30" s="1" t="inlineStr">
        <is>
          <t>Wireless channel interference is causing instability</t>
        </is>
      </c>
      <c r="G30" s="1" t="inlineStr">
        <is>
          <t>Layer 1/2</t>
        </is>
      </c>
      <c r="H30" s="1" t="inlineStr">
        <is>
          <t>Wireless interference</t>
        </is>
      </c>
      <c r="I30" s="1" t="inlineStr">
        <is>
          <t>Medium</t>
        </is>
      </c>
    </row>
    <row r="31">
      <c r="A31" s="1" t="inlineStr">
        <is>
          <t>CASE030</t>
        </is>
      </c>
      <c r="B31" s="1" t="inlineStr">
        <is>
          <t>Wireless</t>
        </is>
      </c>
      <c r="C31" s="1" t="inlineStr">
        <is>
          <t>Wireless client connects but cannot reach internal resources</t>
        </is>
      </c>
      <c r="D31" s="1" t="inlineStr">
        <is>
          <t>Corporate SSID should provide access to internal VLAN 70</t>
        </is>
      </c>
      <c r="E31" s="1" t="inlineStr">
        <is>
          <t>show wlan configuration: SSID mapped to guest VLAN 60</t>
        </is>
      </c>
      <c r="F31" s="1" t="inlineStr">
        <is>
          <t>Corporate SSID is mapped to the wrong VLAN</t>
        </is>
      </c>
      <c r="G31" s="1" t="inlineStr">
        <is>
          <t>Layer 2</t>
        </is>
      </c>
      <c r="H31" s="1" t="inlineStr">
        <is>
          <t>SSID segmentation</t>
        </is>
      </c>
      <c r="I31" s="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45" customWidth="1" min="3" max="3"/>
    <col width="16" customWidth="1" min="4" max="4"/>
    <col width="45" customWidth="1" min="5" max="5"/>
    <col width="45" customWidth="1" min="6" max="6"/>
  </cols>
  <sheetData>
    <row r="1">
      <c r="A1" s="1" t="inlineStr">
        <is>
          <t>case_id</t>
        </is>
      </c>
      <c r="B1" s="1" t="inlineStr">
        <is>
          <t>issue_type</t>
        </is>
      </c>
      <c r="C1" s="1" t="inlineStr">
        <is>
          <t>ai_diagnosis</t>
        </is>
      </c>
      <c r="D1" s="1" t="inlineStr">
        <is>
          <t>human_decision</t>
        </is>
      </c>
      <c r="E1" s="1" t="inlineStr">
        <is>
          <t>human_correction</t>
        </is>
      </c>
      <c r="F1" s="1" t="inlineStr">
        <is>
          <t>reason</t>
        </is>
      </c>
    </row>
    <row r="2">
      <c r="A2" s="1" t="inlineStr">
        <is>
          <t>CASE003</t>
        </is>
      </c>
      <c r="B2" s="1" t="inlineStr">
        <is>
          <t>VLAN</t>
        </is>
      </c>
      <c r="C2" s="1" t="inlineStr">
        <is>
          <t>Likely VLAN trunk issue; VLAN 30 may not be allowed</t>
        </is>
      </c>
      <c r="D2" s="1" t="inlineStr">
        <is>
          <t>Edited</t>
        </is>
      </c>
      <c r="E2" s="1" t="inlineStr">
        <is>
          <t>Added that VLAN 30 is specifically missing from the trunk allowed list</t>
        </is>
      </c>
      <c r="F2" s="1" t="inlineStr">
        <is>
          <t>Human reviewer confirmed the show interfaces trunk evidence</t>
        </is>
      </c>
    </row>
    <row r="3">
      <c r="A3" s="1" t="inlineStr">
        <is>
          <t>CASE008</t>
        </is>
      </c>
      <c r="B3" s="1" t="inlineStr">
        <is>
          <t>DHCP</t>
        </is>
      </c>
      <c r="C3" s="1" t="inlineStr">
        <is>
          <t>Likely DHCP server or relay problem</t>
        </is>
      </c>
      <c r="D3" s="1" t="inlineStr">
        <is>
          <t>Edited</t>
        </is>
      </c>
      <c r="E3" s="1" t="inlineStr">
        <is>
          <t>Confirmed missing DHCP relay configuration is the primary suspected cause</t>
        </is>
      </c>
      <c r="F3" s="1" t="inlineStr">
        <is>
          <t>APIPA address alone does not prove the exact relay failure</t>
        </is>
      </c>
    </row>
    <row r="4">
      <c r="A4" s="1" t="inlineStr">
        <is>
          <t>CASE017</t>
        </is>
      </c>
      <c r="B4" s="1" t="inlineStr">
        <is>
          <t>Routing</t>
        </is>
      </c>
      <c r="C4" s="1" t="inlineStr">
        <is>
          <t>OSPF neighbor configuration issue</t>
        </is>
      </c>
      <c r="D4" s="1" t="inlineStr">
        <is>
          <t>Edited</t>
        </is>
      </c>
      <c r="E4" s="1" t="inlineStr">
        <is>
          <t>Specified that the connecting network is missing from OSPF configuration</t>
        </is>
      </c>
      <c r="F4" s="1" t="inlineStr">
        <is>
          <t>Human reviewer verified the topology and OSPF evidence</t>
        </is>
      </c>
    </row>
    <row r="5">
      <c r="A5" s="1" t="inlineStr">
        <is>
          <t>CASE021</t>
        </is>
      </c>
      <c r="B5" s="1" t="inlineStr">
        <is>
          <t>ACL</t>
        </is>
      </c>
      <c r="C5" s="1" t="inlineStr">
        <is>
          <t>Possible guest isolation problem</t>
        </is>
      </c>
      <c r="D5" s="1" t="inlineStr">
        <is>
          <t>Edited</t>
        </is>
      </c>
      <c r="E5" s="1" t="inlineStr">
        <is>
          <t>Confirmed missing ACL restriction allows guest-to-internal traffic</t>
        </is>
      </c>
      <c r="F5" s="1" t="inlineStr">
        <is>
          <t>Security impact requires explicit human confirmation</t>
        </is>
      </c>
    </row>
    <row r="6">
      <c r="A6" s="1" t="inlineStr">
        <is>
          <t>CASE026</t>
        </is>
      </c>
      <c r="B6" s="1" t="inlineStr">
        <is>
          <t>NAT</t>
        </is>
      </c>
      <c r="C6" s="1" t="inlineStr">
        <is>
          <t>NAT configuration may be incorrect</t>
        </is>
      </c>
      <c r="D6" s="1" t="inlineStr">
        <is>
          <t>Edited</t>
        </is>
      </c>
      <c r="E6" s="1" t="inlineStr">
        <is>
          <t>Identified missing default route as the primary issue</t>
        </is>
      </c>
      <c r="F6" s="1" t="inlineStr">
        <is>
          <t>NAT translations exist, so NAT itself is not necessarily the failure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1" t="inlineStr">
        <is>
          <t>Routing</t>
        </is>
      </c>
      <c r="B2" s="1" t="n">
        <v>5</v>
      </c>
    </row>
    <row r="3">
      <c r="A3" s="1" t="inlineStr">
        <is>
          <t>VLAN</t>
        </is>
      </c>
      <c r="B3" s="1" t="n">
        <v>4</v>
      </c>
    </row>
    <row r="4">
      <c r="A4" s="1" t="inlineStr">
        <is>
          <t>DHCP</t>
        </is>
      </c>
      <c r="B4" s="1" t="n">
        <v>4</v>
      </c>
    </row>
    <row r="5">
      <c r="A5" s="1" t="inlineStr">
        <is>
          <t>ACL</t>
        </is>
      </c>
      <c r="B5" s="1" t="n">
        <v>4</v>
      </c>
    </row>
    <row r="6">
      <c r="A6" s="1" t="inlineStr">
        <is>
          <t>Wireless</t>
        </is>
      </c>
      <c r="B6" s="1" t="n">
        <v>4</v>
      </c>
    </row>
    <row r="7">
      <c r="A7" s="1" t="inlineStr">
        <is>
          <t>Gateway</t>
        </is>
      </c>
      <c r="B7" s="1" t="n">
        <v>3</v>
      </c>
    </row>
    <row r="8">
      <c r="A8" s="1" t="inlineStr">
        <is>
          <t>DNS</t>
        </is>
      </c>
      <c r="B8" s="1" t="n">
        <v>3</v>
      </c>
    </row>
    <row r="9">
      <c r="A9" s="1" t="inlineStr">
        <is>
          <t>NAT</t>
        </is>
      </c>
      <c r="B9" s="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</cols>
  <sheetData>
    <row r="1">
      <c r="A1" s="1" t="inlineStr">
        <is>
          <t>Severity</t>
        </is>
      </c>
      <c r="B1" s="1" t="inlineStr">
        <is>
          <t>Count</t>
        </is>
      </c>
    </row>
    <row r="2">
      <c r="A2" s="1" t="inlineStr">
        <is>
          <t>High</t>
        </is>
      </c>
      <c r="B2" s="1" t="n">
        <v>21</v>
      </c>
    </row>
    <row r="3">
      <c r="A3" s="1" t="inlineStr">
        <is>
          <t>Medium</t>
        </is>
      </c>
      <c r="B3" s="1" t="n">
        <v>6</v>
      </c>
    </row>
    <row r="4">
      <c r="A4" s="1" t="inlineStr">
        <is>
          <t>Critical</t>
        </is>
      </c>
      <c r="B4" s="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n"/>
      <c r="D1" s="2" t="inlineStr">
        <is>
          <t>NetSage AI</t>
        </is>
      </c>
    </row>
    <row r="2">
      <c r="A2" s="1" t="inlineStr">
        <is>
          <t>Total Cases</t>
        </is>
      </c>
      <c r="B2" s="1" t="n">
        <v>30</v>
      </c>
      <c r="C2" s="1" t="n"/>
      <c r="D2" s="3" t="inlineStr">
        <is>
          <t>Network Troubleshooting &amp; Responsible AI Dashboard</t>
        </is>
      </c>
    </row>
    <row r="3">
      <c r="A3" s="1" t="inlineStr">
        <is>
          <t>Human Reviewed</t>
        </is>
      </c>
      <c r="B3" s="1" t="n">
        <v>5</v>
      </c>
      <c r="C3" s="1" t="n"/>
      <c r="D3" s="1" t="n"/>
    </row>
    <row r="4">
      <c r="A4" s="1" t="inlineStr">
        <is>
          <t>Accepted</t>
        </is>
      </c>
      <c r="B4" s="1" t="n">
        <v>0</v>
      </c>
      <c r="C4" s="1" t="n"/>
      <c r="D4" s="1" t="n"/>
    </row>
    <row r="5">
      <c r="A5" s="1" t="inlineStr">
        <is>
          <t>Edited</t>
        </is>
      </c>
      <c r="B5" s="1" t="n">
        <v>5</v>
      </c>
      <c r="C5" s="1" t="n"/>
      <c r="D5" s="1" t="n"/>
    </row>
    <row r="6">
      <c r="A6" s="1" t="inlineStr">
        <is>
          <t>Rejected</t>
        </is>
      </c>
      <c r="B6" s="1" t="n">
        <v>0</v>
      </c>
      <c r="C6" s="1" t="n"/>
      <c r="D6" s="1" t="n"/>
    </row>
    <row r="7">
      <c r="A7" s="1" t="inlineStr">
        <is>
          <t>AI-Human Agreement %</t>
        </is>
      </c>
      <c r="B7" s="1" t="n">
        <v>0</v>
      </c>
      <c r="C7" s="1" t="n"/>
      <c r="D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2026-08-27T16:59:44Z</dcterms:created>
  <dcterms:modified xsi:type="dcterms:W3CDTF">2026-08-27T16:59:44Z</dcterms:modified>
</cp:coreProperties>
</file>